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https://d.docs.live.net/d8cd4a8a9885b4b9/Documents/CFC Docs/"/>
    </mc:Choice>
  </mc:AlternateContent>
  <xr:revisionPtr revIDLastSave="9" documentId="8_{B7E71611-96DA-4DFC-A3C4-22D597ACF41B}" xr6:coauthVersionLast="47" xr6:coauthVersionMax="47" xr10:uidLastSave="{0FCD7BC1-925E-4C41-80F0-3344CADADEA2}"/>
  <bookViews>
    <workbookView xWindow="20" yWindow="740" windowWidth="23020" windowHeight="14620" activeTab="2" xr2:uid="{00000000-000D-0000-FFFF-FFFF00000000}"/>
  </bookViews>
  <sheets>
    <sheet name="KXW" sheetId="1" r:id="rId1"/>
    <sheet name="KXW_Parms" sheetId="2" state="hidden" r:id="rId2"/>
    <sheet name="YPB" sheetId="3" r:id="rId3"/>
    <sheet name="YPB_Parms" sheetId="4" state="hidden" r:id="rId4"/>
  </sheets>
  <definedNames>
    <definedName name="Fuel_Burn_Arm" localSheetId="2">YPB!$M$19:$M$20</definedName>
    <definedName name="Fuel_Burn_Arm">KXW!$M$18:$M$19</definedName>
    <definedName name="Fuel_Burn_KG" localSheetId="2">YPB!$K$19:$K$20</definedName>
    <definedName name="Fuel_Burn_KG">KXW!$K$18:$K$19</definedName>
    <definedName name="Loading_Data_Arm" localSheetId="2">YPB!$M$9:$M$16</definedName>
    <definedName name="Loading_Data_Arm">KXW!$M$9:$M$15</definedName>
    <definedName name="Loading_Data_KG" localSheetId="2">YPB!$K$9:$K$16</definedName>
    <definedName name="Loading_Data_KG">KXW!$K$9:$K$15</definedName>
    <definedName name="_xlnm.Print_Area" localSheetId="0">KXW!$A$1:$I$63</definedName>
    <definedName name="_xlnm.Print_Area" localSheetId="2">YPB!$A$1:$I$74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3" l="1"/>
  <c r="I24" i="3"/>
  <c r="H24" i="3"/>
  <c r="G24" i="3"/>
  <c r="A70" i="3"/>
  <c r="D15" i="3"/>
  <c r="A7" i="4"/>
  <c r="A8" i="4" s="1"/>
  <c r="A9" i="4" s="1"/>
  <c r="A10" i="4" s="1"/>
  <c r="A11" i="4" s="1"/>
  <c r="A12" i="4" s="1"/>
  <c r="A13" i="4" s="1"/>
  <c r="A14" i="4" s="1"/>
  <c r="A64" i="3"/>
  <c r="I22" i="3"/>
  <c r="B20" i="3" s="1"/>
  <c r="H22" i="3"/>
  <c r="G22" i="3"/>
  <c r="A22" i="3"/>
  <c r="C20" i="3"/>
  <c r="I19" i="3"/>
  <c r="H19" i="3"/>
  <c r="B19" i="3"/>
  <c r="A17" i="4" s="1"/>
  <c r="D16" i="3"/>
  <c r="D14" i="3"/>
  <c r="D13" i="3"/>
  <c r="D12" i="3"/>
  <c r="C11" i="3"/>
  <c r="D11" i="3" s="1"/>
  <c r="C10" i="3"/>
  <c r="D10" i="3" s="1"/>
  <c r="D9" i="3"/>
  <c r="I21" i="1"/>
  <c r="B19" i="1" s="1"/>
  <c r="H21" i="1"/>
  <c r="G21" i="1"/>
  <c r="B18" i="1"/>
  <c r="I19" i="1" s="1"/>
  <c r="I18" i="1"/>
  <c r="H18" i="1"/>
  <c r="A25" i="2"/>
  <c r="A24" i="2"/>
  <c r="A20" i="2"/>
  <c r="D13" i="1"/>
  <c r="A7" i="2"/>
  <c r="A8" i="2"/>
  <c r="A9" i="2" s="1"/>
  <c r="A10" i="2" s="1"/>
  <c r="A11" i="2" s="1"/>
  <c r="A12" i="2" s="1"/>
  <c r="A13" i="2" s="1"/>
  <c r="A21" i="1"/>
  <c r="A54" i="1"/>
  <c r="C19" i="1"/>
  <c r="D15" i="1"/>
  <c r="D9" i="1"/>
  <c r="B7" i="2" s="1"/>
  <c r="C7" i="2" s="1"/>
  <c r="C15" i="1"/>
  <c r="C14" i="1"/>
  <c r="D14" i="1" s="1"/>
  <c r="C13" i="1"/>
  <c r="C12" i="1"/>
  <c r="D12" i="1" s="1"/>
  <c r="C11" i="1"/>
  <c r="D11" i="1" s="1"/>
  <c r="C10" i="1"/>
  <c r="D10" i="1" s="1"/>
  <c r="A16" i="2" l="1"/>
  <c r="B25" i="3"/>
  <c r="D20" i="3"/>
  <c r="G19" i="1"/>
  <c r="I20" i="3"/>
  <c r="D19" i="3"/>
  <c r="B17" i="4" s="1"/>
  <c r="C17" i="4" s="1"/>
  <c r="B8" i="2"/>
  <c r="B9" i="2" s="1"/>
  <c r="B7" i="4"/>
  <c r="B8" i="4" s="1"/>
  <c r="B9" i="4" s="1"/>
  <c r="B21" i="3"/>
  <c r="A23" i="4" s="1"/>
  <c r="G20" i="3"/>
  <c r="H20" i="3"/>
  <c r="D18" i="1"/>
  <c r="D19" i="1"/>
  <c r="B20" i="1"/>
  <c r="A17" i="2" s="1"/>
  <c r="H19" i="1"/>
  <c r="B26" i="3" l="1"/>
  <c r="D25" i="3"/>
  <c r="D26" i="3" s="1"/>
  <c r="B10" i="4"/>
  <c r="C9" i="4"/>
  <c r="D21" i="3"/>
  <c r="C19" i="3"/>
  <c r="C8" i="4"/>
  <c r="C8" i="2"/>
  <c r="C7" i="4"/>
  <c r="D20" i="1"/>
  <c r="B16" i="2"/>
  <c r="C16" i="2" s="1"/>
  <c r="C18" i="1"/>
  <c r="B10" i="2"/>
  <c r="C9" i="2"/>
  <c r="B18" i="4" l="1"/>
  <c r="B22" i="4"/>
  <c r="A18" i="4"/>
  <c r="A22" i="4"/>
  <c r="B23" i="4"/>
  <c r="C23" i="4" s="1"/>
  <c r="C26" i="3"/>
  <c r="C10" i="4"/>
  <c r="B11" i="4"/>
  <c r="C21" i="3"/>
  <c r="C10" i="2"/>
  <c r="B11" i="2"/>
  <c r="B17" i="2"/>
  <c r="C17" i="2" s="1"/>
  <c r="C20" i="1"/>
  <c r="C22" i="4" l="1"/>
  <c r="C18" i="4"/>
  <c r="B12" i="4"/>
  <c r="C11" i="4"/>
  <c r="C11" i="2"/>
  <c r="B12" i="2"/>
  <c r="B13" i="4" l="1"/>
  <c r="C12" i="4"/>
  <c r="B13" i="2"/>
  <c r="C13" i="2" s="1"/>
  <c r="C12" i="2"/>
  <c r="B14" i="4" l="1"/>
  <c r="C14" i="4" s="1"/>
  <c r="C13" i="4"/>
</calcChain>
</file>

<file path=xl/sharedStrings.xml><?xml version="1.0" encoding="utf-8"?>
<sst xmlns="http://schemas.openxmlformats.org/spreadsheetml/2006/main" count="101" uniqueCount="61">
  <si>
    <t>Electronic Loading System</t>
  </si>
  <si>
    <t>Aircraft Type:</t>
  </si>
  <si>
    <t>Cessna 172S</t>
  </si>
  <si>
    <t>VH-KXW</t>
  </si>
  <si>
    <t>Registration:</t>
  </si>
  <si>
    <t>Serial No.:</t>
  </si>
  <si>
    <t>Configuration:</t>
  </si>
  <si>
    <t>172S10679</t>
  </si>
  <si>
    <t>Standard 4 Seat</t>
  </si>
  <si>
    <t>Baggage Area A</t>
  </si>
  <si>
    <t>Empty Weight</t>
  </si>
  <si>
    <t>Baggage Area B</t>
  </si>
  <si>
    <t>Nil Fuel Weight</t>
  </si>
  <si>
    <t>Fuel</t>
  </si>
  <si>
    <t>TOW</t>
  </si>
  <si>
    <t>Enter weights and fuel in outlined sections.</t>
  </si>
  <si>
    <t>Weight (kg)</t>
  </si>
  <si>
    <t>Arm (mm)</t>
  </si>
  <si>
    <t>Moment (kg.mm)</t>
  </si>
  <si>
    <t>Max fuel capacity:</t>
  </si>
  <si>
    <t>US Gals</t>
  </si>
  <si>
    <t>Litres</t>
  </si>
  <si>
    <t>kg</t>
  </si>
  <si>
    <t>Fuel load available:</t>
  </si>
  <si>
    <t>Enter fuel amount here:</t>
  </si>
  <si>
    <t>Fuel amount selected:</t>
  </si>
  <si>
    <t>Fuel specific gravity (kg/l)</t>
  </si>
  <si>
    <t>Max TOW</t>
  </si>
  <si>
    <t>Envelope Data</t>
  </si>
  <si>
    <t>Loading Data</t>
  </si>
  <si>
    <t>Notes:</t>
  </si>
  <si>
    <t>(1) Fuel burn must remain within the envelope at all times.</t>
  </si>
  <si>
    <t>(3) Datum is firewall, front face, lower portion.</t>
  </si>
  <si>
    <t>(5) Due aft centre of gravity this aircraft cannot be used in the utility category.</t>
  </si>
  <si>
    <t>(7) Maximum landing weight is the same as MTOW.</t>
  </si>
  <si>
    <t>* Only blue cells can be altered.</t>
  </si>
  <si>
    <t>Pilot</t>
  </si>
  <si>
    <t>Front Passenger</t>
  </si>
  <si>
    <t>Rear passenger</t>
  </si>
  <si>
    <t>(6) Maximum combined baggage in Areas A and B is 54.4kg unless there are 4 occupants in which case it is reduced to 12.7kg.</t>
  </si>
  <si>
    <t>(4) Unusable fuel and full engine oil is accounted for in Empty Weight.</t>
  </si>
  <si>
    <t>Fuel Burn</t>
  </si>
  <si>
    <t>(8) Tabs is 35 US Gals (approx 132L).</t>
  </si>
  <si>
    <t>Sheet is protected but there is no password required.</t>
  </si>
  <si>
    <t>VH-YPB</t>
  </si>
  <si>
    <t>Cessna 182T</t>
  </si>
  <si>
    <t>Baggage Area C</t>
  </si>
  <si>
    <t>Max Landing Weight</t>
  </si>
  <si>
    <t>(5) This aircraft cannot be used in the utility category.</t>
  </si>
  <si>
    <t>(6) Maximum combined baggage in Areas A and B and C is 90.7kg.</t>
  </si>
  <si>
    <t>(7) Maximum combined baggage in Areas B and C is 36.3kg.</t>
  </si>
  <si>
    <t>MLW data</t>
  </si>
  <si>
    <t>(9) Tabs is 64 US Gals (approx 243L).</t>
  </si>
  <si>
    <t>Enter fuel departure amount here:</t>
  </si>
  <si>
    <t>Enter estimated fuel burn here:</t>
  </si>
  <si>
    <t>Fuel burn selected:</t>
  </si>
  <si>
    <t>Remaining Fuel</t>
  </si>
  <si>
    <t>Landing Fuel</t>
  </si>
  <si>
    <t>Landing Weight</t>
  </si>
  <si>
    <t>Enter Gals OR Litres OR kg only</t>
  </si>
  <si>
    <t xml:space="preserve">Disclaimer: This spreadsheet is provided only as an aid to pre-flight planning. Curtin Flying Club Inc does not accept any liabiilty for the accuracy of this spreadsheet. It is the pilot in command's responsibility to independently verify all results calculated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</si>
</sst>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0"/>
      <name val="Arial"/>
    </font>
    <font>
      <sz val="8"/>
      <name val="Arial"/>
    </font>
    <font>
      <b/>
      <sz val="10"/>
      <name val="Arial"/>
      <family val="2"/>
    </font>
    <font>
      <sz val="10"/>
      <name val="Arial"/>
      <family val="2"/>
    </font>
  </fonts>
  <fills count="3">
    <fill>
      <patternFill patternType="none"/>
    </fill>
    <fill>
      <patternFill patternType="gray125"/>
    </fill>
    <fill>
      <patternFill patternType="solid">
        <fgColor indexed="41"/>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1" fillId="0" borderId="0" xfId="0" applyFont="1"/>
    <xf numFmtId="1" fontId="0" fillId="0" borderId="0" xfId="0" applyNumberFormat="1"/>
    <xf numFmtId="164" fontId="0" fillId="0" borderId="0" xfId="0" applyNumberFormat="1"/>
    <xf numFmtId="0" fontId="0" fillId="0" borderId="0" xfId="0" applyProtection="1">
      <protection hidden="1"/>
    </xf>
    <xf numFmtId="0" fontId="0" fillId="2" borderId="1" xfId="0" applyFill="1" applyBorder="1" applyProtection="1">
      <protection locked="0"/>
    </xf>
    <xf numFmtId="0" fontId="0" fillId="2" borderId="2" xfId="0" applyFill="1" applyBorder="1" applyProtection="1">
      <protection locked="0"/>
    </xf>
    <xf numFmtId="0" fontId="0" fillId="2" borderId="3" xfId="0" applyFill="1" applyBorder="1" applyProtection="1">
      <protection locked="0"/>
    </xf>
    <xf numFmtId="164" fontId="0" fillId="2" borderId="4" xfId="0" applyNumberFormat="1" applyFill="1" applyBorder="1" applyProtection="1">
      <protection locked="0"/>
    </xf>
    <xf numFmtId="0" fontId="0" fillId="2" borderId="5" xfId="0" applyFill="1" applyBorder="1" applyProtection="1">
      <protection locked="0"/>
    </xf>
    <xf numFmtId="0" fontId="0" fillId="2" borderId="6" xfId="0" applyFill="1" applyBorder="1" applyProtection="1">
      <protection locked="0"/>
    </xf>
    <xf numFmtId="0" fontId="3" fillId="0" borderId="0" xfId="0" applyFont="1"/>
    <xf numFmtId="0" fontId="2" fillId="0" borderId="0" xfId="0" applyFont="1" applyAlignment="1">
      <alignment horizontal="center"/>
    </xf>
    <xf numFmtId="0" fontId="3" fillId="0" borderId="7" xfId="0" applyFont="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cellXfs>
  <cellStyles count="1">
    <cellStyle name="Normal" xfId="0" builtinId="0"/>
  </cellStyles>
  <dxfs count="16">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10"/>
      </font>
    </dxf>
    <dxf>
      <font>
        <condense val="0"/>
        <extend val="0"/>
        <color indexed="10"/>
      </font>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10"/>
      </font>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74341233622848"/>
          <c:y val="6.4433070776959644E-2"/>
          <c:w val="0.59660420938704506"/>
          <c:h val="0.77319684932351573"/>
        </c:manualLayout>
      </c:layout>
      <c:scatterChart>
        <c:scatterStyle val="lineMarker"/>
        <c:varyColors val="0"/>
        <c:ser>
          <c:idx val="0"/>
          <c:order val="0"/>
          <c:tx>
            <c:v>Envelope</c:v>
          </c:tx>
          <c:spPr>
            <a:ln w="3175">
              <a:solidFill>
                <a:srgbClr val="000080"/>
              </a:solidFill>
              <a:prstDash val="solid"/>
            </a:ln>
          </c:spPr>
          <c:marker>
            <c:symbol val="diamond"/>
            <c:size val="3"/>
            <c:spPr>
              <a:solidFill>
                <a:srgbClr val="000080"/>
              </a:solidFill>
              <a:ln>
                <a:solidFill>
                  <a:srgbClr val="000080"/>
                </a:solidFill>
                <a:prstDash val="solid"/>
              </a:ln>
            </c:spPr>
          </c:marker>
          <c:xVal>
            <c:numRef>
              <c:f>KXW_Parms!$B$20:$B$25</c:f>
              <c:numCache>
                <c:formatCode>General</c:formatCode>
                <c:ptCount val="6"/>
                <c:pt idx="0">
                  <c:v>887.5</c:v>
                </c:pt>
                <c:pt idx="1">
                  <c:v>887.5</c:v>
                </c:pt>
                <c:pt idx="2">
                  <c:v>1040</c:v>
                </c:pt>
                <c:pt idx="3">
                  <c:v>1200</c:v>
                </c:pt>
                <c:pt idx="4">
                  <c:v>1200</c:v>
                </c:pt>
                <c:pt idx="5">
                  <c:v>887.5</c:v>
                </c:pt>
              </c:numCache>
            </c:numRef>
          </c:xVal>
          <c:yVal>
            <c:numRef>
              <c:f>KXW_Parms!$A$20:$A$25</c:f>
              <c:numCache>
                <c:formatCode>General</c:formatCode>
                <c:ptCount val="6"/>
                <c:pt idx="0">
                  <c:v>791.9</c:v>
                </c:pt>
                <c:pt idx="1">
                  <c:v>885</c:v>
                </c:pt>
                <c:pt idx="2">
                  <c:v>1156</c:v>
                </c:pt>
                <c:pt idx="3">
                  <c:v>1156</c:v>
                </c:pt>
                <c:pt idx="4">
                  <c:v>791.9</c:v>
                </c:pt>
                <c:pt idx="5">
                  <c:v>791.9</c:v>
                </c:pt>
              </c:numCache>
            </c:numRef>
          </c:yVal>
          <c:smooth val="0"/>
          <c:extLst>
            <c:ext xmlns:c16="http://schemas.microsoft.com/office/drawing/2014/chart" uri="{C3380CC4-5D6E-409C-BE32-E72D297353CC}">
              <c16:uniqueId val="{00000000-2490-4482-87DD-35134818EAEB}"/>
            </c:ext>
          </c:extLst>
        </c:ser>
        <c:ser>
          <c:idx val="1"/>
          <c:order val="1"/>
          <c:tx>
            <c:v>Load data</c:v>
          </c:tx>
          <c:spPr>
            <a:ln w="3175">
              <a:solidFill>
                <a:srgbClr val="0000FF"/>
              </a:solidFill>
              <a:prstDash val="solid"/>
            </a:ln>
          </c:spPr>
          <c:marker>
            <c:symbol val="triangle"/>
            <c:size val="3"/>
            <c:spPr>
              <a:solidFill>
                <a:srgbClr val="FF00FF"/>
              </a:solidFill>
              <a:ln>
                <a:solidFill>
                  <a:srgbClr val="FF00FF"/>
                </a:solidFill>
                <a:prstDash val="solid"/>
              </a:ln>
            </c:spPr>
          </c:marker>
          <c:xVal>
            <c:numRef>
              <c:f>KXW_Parms!$C$7:$C$13</c:f>
              <c:numCache>
                <c:formatCode>0</c:formatCode>
                <c:ptCount val="7"/>
                <c:pt idx="0" formatCode="General">
                  <c:v>1057</c:v>
                </c:pt>
                <c:pt idx="1">
                  <c:v>1043.8595133983631</c:v>
                </c:pt>
                <c:pt idx="2">
                  <c:v>1033.3685855428973</c:v>
                </c:pt>
                <c:pt idx="3">
                  <c:v>1065.1868398100589</c:v>
                </c:pt>
                <c:pt idx="4">
                  <c:v>1065.1868398100589</c:v>
                </c:pt>
                <c:pt idx="5">
                  <c:v>1065.1868398100589</c:v>
                </c:pt>
                <c:pt idx="6">
                  <c:v>1065.1868398100589</c:v>
                </c:pt>
              </c:numCache>
            </c:numRef>
          </c:xVal>
          <c:yVal>
            <c:numRef>
              <c:f>KXW_Parms!$A$7:$A$13</c:f>
              <c:numCache>
                <c:formatCode>General</c:formatCode>
                <c:ptCount val="7"/>
                <c:pt idx="0">
                  <c:v>791.9</c:v>
                </c:pt>
                <c:pt idx="1">
                  <c:v>891.9</c:v>
                </c:pt>
                <c:pt idx="2">
                  <c:v>991.9</c:v>
                </c:pt>
                <c:pt idx="3">
                  <c:v>1031.9000000000001</c:v>
                </c:pt>
                <c:pt idx="4">
                  <c:v>1031.9000000000001</c:v>
                </c:pt>
                <c:pt idx="5">
                  <c:v>1031.9000000000001</c:v>
                </c:pt>
                <c:pt idx="6">
                  <c:v>1031.9000000000001</c:v>
                </c:pt>
              </c:numCache>
            </c:numRef>
          </c:yVal>
          <c:smooth val="0"/>
          <c:extLst>
            <c:ext xmlns:c16="http://schemas.microsoft.com/office/drawing/2014/chart" uri="{C3380CC4-5D6E-409C-BE32-E72D297353CC}">
              <c16:uniqueId val="{00000001-2490-4482-87DD-35134818EAEB}"/>
            </c:ext>
          </c:extLst>
        </c:ser>
        <c:ser>
          <c:idx val="2"/>
          <c:order val="2"/>
          <c:tx>
            <c:v>Fuel Burn</c:v>
          </c:tx>
          <c:spPr>
            <a:ln w="25400">
              <a:solidFill>
                <a:srgbClr val="008000"/>
              </a:solidFill>
              <a:prstDash val="solid"/>
            </a:ln>
          </c:spPr>
          <c:marker>
            <c:symbol val="triangle"/>
            <c:size val="7"/>
            <c:spPr>
              <a:solidFill>
                <a:srgbClr val="FFFF00"/>
              </a:solidFill>
              <a:ln>
                <a:solidFill>
                  <a:srgbClr val="008080"/>
                </a:solidFill>
                <a:prstDash val="solid"/>
              </a:ln>
            </c:spPr>
          </c:marker>
          <c:xVal>
            <c:numRef>
              <c:f>KXW_Parms!$C$16:$C$17</c:f>
              <c:numCache>
                <c:formatCode>0</c:formatCode>
                <c:ptCount val="2"/>
                <c:pt idx="0">
                  <c:v>1065.1868398100589</c:v>
                </c:pt>
                <c:pt idx="1">
                  <c:v>1081.7087118262823</c:v>
                </c:pt>
              </c:numCache>
            </c:numRef>
          </c:xVal>
          <c:yVal>
            <c:numRef>
              <c:f>KXW_Parms!$A$16:$A$17</c:f>
              <c:numCache>
                <c:formatCode>0.0</c:formatCode>
                <c:ptCount val="2"/>
                <c:pt idx="0" formatCode="General">
                  <c:v>1031.9000000000001</c:v>
                </c:pt>
                <c:pt idx="1">
                  <c:v>1155.9000000000001</c:v>
                </c:pt>
              </c:numCache>
            </c:numRef>
          </c:yVal>
          <c:smooth val="0"/>
          <c:extLst>
            <c:ext xmlns:c16="http://schemas.microsoft.com/office/drawing/2014/chart" uri="{C3380CC4-5D6E-409C-BE32-E72D297353CC}">
              <c16:uniqueId val="{00000002-2490-4482-87DD-35134818EAEB}"/>
            </c:ext>
          </c:extLst>
        </c:ser>
        <c:dLbls>
          <c:showLegendKey val="0"/>
          <c:showVal val="0"/>
          <c:showCatName val="0"/>
          <c:showSerName val="0"/>
          <c:showPercent val="0"/>
          <c:showBubbleSize val="0"/>
        </c:dLbls>
        <c:axId val="256906368"/>
        <c:axId val="257581440"/>
      </c:scatterChart>
      <c:valAx>
        <c:axId val="256906368"/>
        <c:scaling>
          <c:orientation val="minMax"/>
          <c:max val="1250"/>
          <c:min val="800"/>
        </c:scaling>
        <c:delete val="0"/>
        <c:axPos val="b"/>
        <c:title>
          <c:tx>
            <c:rich>
              <a:bodyPr/>
              <a:lstStyle/>
              <a:p>
                <a:pPr>
                  <a:defRPr sz="800" b="1" i="0" u="none" strike="noStrike" baseline="0">
                    <a:solidFill>
                      <a:srgbClr val="000000"/>
                    </a:solidFill>
                    <a:latin typeface="Arial"/>
                    <a:ea typeface="Arial"/>
                    <a:cs typeface="Arial"/>
                  </a:defRPr>
                </a:pPr>
                <a:r>
                  <a:rPr lang="en-AU"/>
                  <a:t>Arm (mm)</a:t>
                </a:r>
              </a:p>
            </c:rich>
          </c:tx>
          <c:layout>
            <c:manualLayout>
              <c:xMode val="edge"/>
              <c:yMode val="edge"/>
              <c:x val="0.38428954412475147"/>
              <c:y val="0.9072176365395917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57581440"/>
        <c:crosses val="autoZero"/>
        <c:crossBetween val="midCat"/>
      </c:valAx>
      <c:valAx>
        <c:axId val="257581440"/>
        <c:scaling>
          <c:orientation val="minMax"/>
          <c:max val="1200"/>
          <c:min val="75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AU"/>
                  <a:t>Weight (kg)</a:t>
                </a:r>
              </a:p>
            </c:rich>
          </c:tx>
          <c:layout>
            <c:manualLayout>
              <c:xMode val="edge"/>
              <c:yMode val="edge"/>
              <c:x val="3.3970346441966982E-2"/>
              <c:y val="0.3659798420131307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56906368"/>
        <c:crosses val="autoZero"/>
        <c:crossBetween val="midCat"/>
      </c:valAx>
      <c:spPr>
        <a:solidFill>
          <a:srgbClr val="C0C0C0"/>
        </a:solidFill>
        <a:ln w="12700">
          <a:solidFill>
            <a:srgbClr val="808080"/>
          </a:solidFill>
          <a:prstDash val="solid"/>
        </a:ln>
      </c:spPr>
    </c:plotArea>
    <c:legend>
      <c:legendPos val="r"/>
      <c:layout>
        <c:manualLayout>
          <c:xMode val="edge"/>
          <c:yMode val="edge"/>
          <c:x val="0.80042628803884697"/>
          <c:y val="0.37628913333744429"/>
          <c:w val="0.18259061212557251"/>
          <c:h val="0.14948472420254635"/>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74341233622848"/>
          <c:y val="6.4433070776959644E-2"/>
          <c:w val="0.59660420938704506"/>
          <c:h val="0.77319684932351573"/>
        </c:manualLayout>
      </c:layout>
      <c:scatterChart>
        <c:scatterStyle val="lineMarker"/>
        <c:varyColors val="0"/>
        <c:ser>
          <c:idx val="0"/>
          <c:order val="0"/>
          <c:tx>
            <c:v>Envelope</c:v>
          </c:tx>
          <c:spPr>
            <a:ln w="3175">
              <a:solidFill>
                <a:srgbClr val="000080"/>
              </a:solidFill>
              <a:prstDash val="solid"/>
            </a:ln>
          </c:spPr>
          <c:marker>
            <c:symbol val="diamond"/>
            <c:size val="3"/>
            <c:spPr>
              <a:solidFill>
                <a:srgbClr val="000080"/>
              </a:solidFill>
              <a:ln>
                <a:solidFill>
                  <a:srgbClr val="000080"/>
                </a:solidFill>
                <a:prstDash val="solid"/>
              </a:ln>
            </c:spPr>
          </c:marker>
          <c:xVal>
            <c:numRef>
              <c:f>YPB_Parms!$B$26:$B$32</c:f>
              <c:numCache>
                <c:formatCode>General</c:formatCode>
                <c:ptCount val="7"/>
                <c:pt idx="0">
                  <c:v>838</c:v>
                </c:pt>
                <c:pt idx="1">
                  <c:v>838</c:v>
                </c:pt>
                <c:pt idx="2">
                  <c:v>909</c:v>
                </c:pt>
                <c:pt idx="3">
                  <c:v>1036</c:v>
                </c:pt>
                <c:pt idx="4">
                  <c:v>1168</c:v>
                </c:pt>
                <c:pt idx="5">
                  <c:v>1168</c:v>
                </c:pt>
                <c:pt idx="6">
                  <c:v>838</c:v>
                </c:pt>
              </c:numCache>
            </c:numRef>
          </c:xVal>
          <c:yVal>
            <c:numRef>
              <c:f>YPB_Parms!$A$26:$A$32</c:f>
              <c:numCache>
                <c:formatCode>General</c:formatCode>
                <c:ptCount val="7"/>
                <c:pt idx="0">
                  <c:v>816.5</c:v>
                </c:pt>
                <c:pt idx="1">
                  <c:v>1011.5</c:v>
                </c:pt>
                <c:pt idx="2">
                  <c:v>1224.7</c:v>
                </c:pt>
                <c:pt idx="3">
                  <c:v>1406.1</c:v>
                </c:pt>
                <c:pt idx="4">
                  <c:v>1406.1</c:v>
                </c:pt>
                <c:pt idx="5">
                  <c:v>816.5</c:v>
                </c:pt>
                <c:pt idx="6">
                  <c:v>816.5</c:v>
                </c:pt>
              </c:numCache>
            </c:numRef>
          </c:yVal>
          <c:smooth val="0"/>
          <c:extLst>
            <c:ext xmlns:c16="http://schemas.microsoft.com/office/drawing/2014/chart" uri="{C3380CC4-5D6E-409C-BE32-E72D297353CC}">
              <c16:uniqueId val="{00000000-108F-498C-99F6-EC27D9EAF0D4}"/>
            </c:ext>
          </c:extLst>
        </c:ser>
        <c:ser>
          <c:idx val="3"/>
          <c:order val="1"/>
          <c:tx>
            <c:v>MAX Ldg Wt</c:v>
          </c:tx>
          <c:spPr>
            <a:ln w="22225">
              <a:solidFill>
                <a:srgbClr val="FF0000"/>
              </a:solidFill>
            </a:ln>
          </c:spPr>
          <c:marker>
            <c:symbol val="none"/>
          </c:marker>
          <c:xVal>
            <c:numRef>
              <c:f>YPB_Parms!$B$35:$B$36</c:f>
              <c:numCache>
                <c:formatCode>General</c:formatCode>
                <c:ptCount val="2"/>
                <c:pt idx="0">
                  <c:v>986</c:v>
                </c:pt>
                <c:pt idx="1">
                  <c:v>1168</c:v>
                </c:pt>
              </c:numCache>
            </c:numRef>
          </c:xVal>
          <c:yVal>
            <c:numRef>
              <c:f>YPB_Parms!$A$35:$A$36</c:f>
              <c:numCache>
                <c:formatCode>General</c:formatCode>
                <c:ptCount val="2"/>
                <c:pt idx="0">
                  <c:v>1338</c:v>
                </c:pt>
                <c:pt idx="1">
                  <c:v>1338</c:v>
                </c:pt>
              </c:numCache>
            </c:numRef>
          </c:yVal>
          <c:smooth val="0"/>
          <c:extLst>
            <c:ext xmlns:c16="http://schemas.microsoft.com/office/drawing/2014/chart" uri="{C3380CC4-5D6E-409C-BE32-E72D297353CC}">
              <c16:uniqueId val="{00000003-108F-498C-99F6-EC27D9EAF0D4}"/>
            </c:ext>
          </c:extLst>
        </c:ser>
        <c:ser>
          <c:idx val="1"/>
          <c:order val="2"/>
          <c:tx>
            <c:v>Load data</c:v>
          </c:tx>
          <c:spPr>
            <a:ln w="3175">
              <a:solidFill>
                <a:srgbClr val="0000FF"/>
              </a:solidFill>
              <a:prstDash val="solid"/>
            </a:ln>
          </c:spPr>
          <c:marker>
            <c:symbol val="triangle"/>
            <c:size val="3"/>
            <c:spPr>
              <a:solidFill>
                <a:srgbClr val="FF00FF"/>
              </a:solidFill>
              <a:ln>
                <a:solidFill>
                  <a:srgbClr val="FF00FF"/>
                </a:solidFill>
                <a:prstDash val="solid"/>
              </a:ln>
            </c:spPr>
          </c:marker>
          <c:xVal>
            <c:numRef>
              <c:f>YPB_Parms!$C$7:$C$14</c:f>
              <c:numCache>
                <c:formatCode>0</c:formatCode>
                <c:ptCount val="8"/>
                <c:pt idx="0" formatCode="General">
                  <c:v>975</c:v>
                </c:pt>
                <c:pt idx="1">
                  <c:v>971.89619238476951</c:v>
                </c:pt>
                <c:pt idx="2">
                  <c:v>969.2953959484347</c:v>
                </c:pt>
                <c:pt idx="3">
                  <c:v>1036.8412617220802</c:v>
                </c:pt>
                <c:pt idx="4">
                  <c:v>1075.260211554109</c:v>
                </c:pt>
                <c:pt idx="5">
                  <c:v>1112.6451306413303</c:v>
                </c:pt>
                <c:pt idx="6">
                  <c:v>1129.9002352941177</c:v>
                </c:pt>
                <c:pt idx="7">
                  <c:v>1134.9403755868545</c:v>
                </c:pt>
              </c:numCache>
            </c:numRef>
          </c:xVal>
          <c:yVal>
            <c:numRef>
              <c:f>YPB_Parms!$A$7:$A$14</c:f>
              <c:numCache>
                <c:formatCode>General</c:formatCode>
                <c:ptCount val="8"/>
                <c:pt idx="0">
                  <c:v>910</c:v>
                </c:pt>
                <c:pt idx="1">
                  <c:v>998</c:v>
                </c:pt>
                <c:pt idx="2">
                  <c:v>1086</c:v>
                </c:pt>
                <c:pt idx="3">
                  <c:v>1173</c:v>
                </c:pt>
                <c:pt idx="4">
                  <c:v>1229</c:v>
                </c:pt>
                <c:pt idx="5">
                  <c:v>1263</c:v>
                </c:pt>
                <c:pt idx="6">
                  <c:v>1275</c:v>
                </c:pt>
                <c:pt idx="7">
                  <c:v>1278</c:v>
                </c:pt>
              </c:numCache>
            </c:numRef>
          </c:yVal>
          <c:smooth val="0"/>
          <c:extLst>
            <c:ext xmlns:c16="http://schemas.microsoft.com/office/drawing/2014/chart" uri="{C3380CC4-5D6E-409C-BE32-E72D297353CC}">
              <c16:uniqueId val="{00000001-108F-498C-99F6-EC27D9EAF0D4}"/>
            </c:ext>
          </c:extLst>
        </c:ser>
        <c:ser>
          <c:idx val="4"/>
          <c:order val="3"/>
          <c:tx>
            <c:v>Remaining Fuel</c:v>
          </c:tx>
          <c:spPr>
            <a:ln w="22225">
              <a:solidFill>
                <a:srgbClr val="00B0F0"/>
              </a:solidFill>
            </a:ln>
          </c:spPr>
          <c:xVal>
            <c:numRef>
              <c:f>YPB_Parms!$C$17:$C$18</c:f>
              <c:numCache>
                <c:formatCode>0</c:formatCode>
                <c:ptCount val="2"/>
                <c:pt idx="0">
                  <c:v>1134.9403755868545</c:v>
                </c:pt>
                <c:pt idx="1">
                  <c:v>1137.1864432597106</c:v>
                </c:pt>
              </c:numCache>
            </c:numRef>
          </c:xVal>
          <c:yVal>
            <c:numRef>
              <c:f>YPB_Parms!$A$17:$A$18</c:f>
              <c:numCache>
                <c:formatCode>General</c:formatCode>
                <c:ptCount val="2"/>
                <c:pt idx="0">
                  <c:v>1278</c:v>
                </c:pt>
                <c:pt idx="1">
                  <c:v>1313</c:v>
                </c:pt>
              </c:numCache>
            </c:numRef>
          </c:yVal>
          <c:smooth val="0"/>
          <c:extLst>
            <c:ext xmlns:c16="http://schemas.microsoft.com/office/drawing/2014/chart" uri="{C3380CC4-5D6E-409C-BE32-E72D297353CC}">
              <c16:uniqueId val="{00000004-108F-498C-99F6-EC27D9EAF0D4}"/>
            </c:ext>
          </c:extLst>
        </c:ser>
        <c:ser>
          <c:idx val="2"/>
          <c:order val="4"/>
          <c:tx>
            <c:v>Fuel Burn</c:v>
          </c:tx>
          <c:spPr>
            <a:ln w="25400">
              <a:solidFill>
                <a:srgbClr val="008000"/>
              </a:solidFill>
              <a:prstDash val="solid"/>
            </a:ln>
          </c:spPr>
          <c:marker>
            <c:symbol val="triangle"/>
            <c:size val="7"/>
            <c:spPr>
              <a:solidFill>
                <a:srgbClr val="FFFF00"/>
              </a:solidFill>
              <a:ln>
                <a:solidFill>
                  <a:srgbClr val="008080"/>
                </a:solidFill>
                <a:prstDash val="solid"/>
              </a:ln>
            </c:spPr>
          </c:marker>
          <c:xVal>
            <c:numRef>
              <c:f>YPB_Parms!$C$22:$C$23</c:f>
              <c:numCache>
                <c:formatCode>0</c:formatCode>
                <c:ptCount val="2"/>
                <c:pt idx="0">
                  <c:v>1137.1864432597106</c:v>
                </c:pt>
                <c:pt idx="1">
                  <c:v>1140.884509090909</c:v>
                </c:pt>
              </c:numCache>
            </c:numRef>
          </c:xVal>
          <c:yVal>
            <c:numRef>
              <c:f>YPB_Parms!$A$22:$A$23</c:f>
              <c:numCache>
                <c:formatCode>0.0</c:formatCode>
                <c:ptCount val="2"/>
                <c:pt idx="0" formatCode="General">
                  <c:v>1313</c:v>
                </c:pt>
                <c:pt idx="1">
                  <c:v>1375</c:v>
                </c:pt>
              </c:numCache>
            </c:numRef>
          </c:yVal>
          <c:smooth val="0"/>
          <c:extLst>
            <c:ext xmlns:c16="http://schemas.microsoft.com/office/drawing/2014/chart" uri="{C3380CC4-5D6E-409C-BE32-E72D297353CC}">
              <c16:uniqueId val="{00000002-108F-498C-99F6-EC27D9EAF0D4}"/>
            </c:ext>
          </c:extLst>
        </c:ser>
        <c:dLbls>
          <c:showLegendKey val="0"/>
          <c:showVal val="0"/>
          <c:showCatName val="0"/>
          <c:showSerName val="0"/>
          <c:showPercent val="0"/>
          <c:showBubbleSize val="0"/>
        </c:dLbls>
        <c:axId val="196303488"/>
        <c:axId val="196306048"/>
      </c:scatterChart>
      <c:valAx>
        <c:axId val="196303488"/>
        <c:scaling>
          <c:orientation val="minMax"/>
          <c:max val="1200"/>
          <c:min val="800"/>
        </c:scaling>
        <c:delete val="0"/>
        <c:axPos val="b"/>
        <c:title>
          <c:tx>
            <c:rich>
              <a:bodyPr/>
              <a:lstStyle/>
              <a:p>
                <a:pPr>
                  <a:defRPr sz="800" b="1" i="0" u="none" strike="noStrike" baseline="0">
                    <a:solidFill>
                      <a:srgbClr val="000000"/>
                    </a:solidFill>
                    <a:latin typeface="Arial"/>
                    <a:ea typeface="Arial"/>
                    <a:cs typeface="Arial"/>
                  </a:defRPr>
                </a:pPr>
                <a:r>
                  <a:rPr lang="en-AU"/>
                  <a:t>Arm (mm)</a:t>
                </a:r>
              </a:p>
            </c:rich>
          </c:tx>
          <c:layout>
            <c:manualLayout>
              <c:xMode val="edge"/>
              <c:yMode val="edge"/>
              <c:x val="0.38428954412475147"/>
              <c:y val="0.9072176365395917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96306048"/>
        <c:crosses val="autoZero"/>
        <c:crossBetween val="midCat"/>
      </c:valAx>
      <c:valAx>
        <c:axId val="196306048"/>
        <c:scaling>
          <c:orientation val="minMax"/>
          <c:max val="1500"/>
          <c:min val="80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AU"/>
                  <a:t>Weight (kg)</a:t>
                </a:r>
              </a:p>
            </c:rich>
          </c:tx>
          <c:layout>
            <c:manualLayout>
              <c:xMode val="edge"/>
              <c:yMode val="edge"/>
              <c:x val="3.3970346441966982E-2"/>
              <c:y val="0.3659798420131307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96303488"/>
        <c:crosses val="autoZero"/>
        <c:crossBetween val="midCat"/>
      </c:valAx>
      <c:spPr>
        <a:solidFill>
          <a:srgbClr val="C0C0C0"/>
        </a:solidFill>
        <a:ln w="12700">
          <a:solidFill>
            <a:srgbClr val="808080"/>
          </a:solidFill>
          <a:prstDash val="solid"/>
        </a:ln>
      </c:spPr>
    </c:plotArea>
    <c:legend>
      <c:legendPos val="r"/>
      <c:layout>
        <c:manualLayout>
          <c:xMode val="edge"/>
          <c:yMode val="edge"/>
          <c:x val="0.80042628803884697"/>
          <c:y val="0.37628913333744429"/>
          <c:w val="0.19957367445110316"/>
          <c:h val="0.17599945087810476"/>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9525</xdr:colOff>
      <xdr:row>23</xdr:row>
      <xdr:rowOff>69850</xdr:rowOff>
    </xdr:from>
    <xdr:to>
      <xdr:col>3</xdr:col>
      <xdr:colOff>1143000</xdr:colOff>
      <xdr:row>50</xdr:row>
      <xdr:rowOff>50800</xdr:rowOff>
    </xdr:to>
    <xdr:graphicFrame macro="">
      <xdr:nvGraphicFramePr>
        <xdr:cNvPr id="1033" name="Chart 9">
          <a:extLst>
            <a:ext uri="{FF2B5EF4-FFF2-40B4-BE49-F238E27FC236}">
              <a16:creationId xmlns:a16="http://schemas.microsoft.com/office/drawing/2014/main" id="{00000000-0008-0000-0000-000009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19050</xdr:colOff>
      <xdr:row>26</xdr:row>
      <xdr:rowOff>47625</xdr:rowOff>
    </xdr:from>
    <xdr:to>
      <xdr:col>7</xdr:col>
      <xdr:colOff>428625</xdr:colOff>
      <xdr:row>49</xdr:row>
      <xdr:rowOff>0</xdr:rowOff>
    </xdr:to>
    <xdr:pic>
      <xdr:nvPicPr>
        <xdr:cNvPr id="1035" name="Picture 11" descr="VH-KXW Weight and Balance">
          <a:extLst>
            <a:ext uri="{FF2B5EF4-FFF2-40B4-BE49-F238E27FC236}">
              <a16:creationId xmlns:a16="http://schemas.microsoft.com/office/drawing/2014/main" id="{00000000-0008-0000-0000-00000B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43425" y="4257675"/>
          <a:ext cx="2638425" cy="367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27</xdr:row>
      <xdr:rowOff>139700</xdr:rowOff>
    </xdr:from>
    <xdr:to>
      <xdr:col>3</xdr:col>
      <xdr:colOff>1143000</xdr:colOff>
      <xdr:row>60</xdr:row>
      <xdr:rowOff>0</xdr:rowOff>
    </xdr:to>
    <xdr:graphicFrame macro="">
      <xdr:nvGraphicFramePr>
        <xdr:cNvPr id="2" name="Chart 9">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282575</xdr:colOff>
      <xdr:row>30</xdr:row>
      <xdr:rowOff>85725</xdr:rowOff>
    </xdr:from>
    <xdr:to>
      <xdr:col>7</xdr:col>
      <xdr:colOff>520700</xdr:colOff>
      <xdr:row>57</xdr:row>
      <xdr:rowOff>11959</xdr:rowOff>
    </xdr:to>
    <xdr:pic>
      <xdr:nvPicPr>
        <xdr:cNvPr id="4" name="Picture 3">
          <a:extLst>
            <a:ext uri="{FF2B5EF4-FFF2-40B4-BE49-F238E27FC236}">
              <a16:creationId xmlns:a16="http://schemas.microsoft.com/office/drawing/2014/main" id="{00984CAF-FFD1-5D82-4D86-9180CF13DF93}"/>
            </a:ext>
          </a:extLst>
        </xdr:cNvPr>
        <xdr:cNvPicPr>
          <a:picLocks noChangeAspect="1"/>
        </xdr:cNvPicPr>
      </xdr:nvPicPr>
      <xdr:blipFill>
        <a:blip xmlns:r="http://schemas.openxmlformats.org/officeDocument/2006/relationships" r:embed="rId2"/>
        <a:stretch>
          <a:fillRect/>
        </a:stretch>
      </xdr:blipFill>
      <xdr:spPr>
        <a:xfrm>
          <a:off x="5026025" y="4657725"/>
          <a:ext cx="2962275" cy="421248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1"/>
  <sheetViews>
    <sheetView showGridLines="0" workbookViewId="0">
      <selection activeCell="B10" sqref="B10"/>
    </sheetView>
  </sheetViews>
  <sheetFormatPr defaultRowHeight="12.5" x14ac:dyDescent="0.25"/>
  <cols>
    <col min="1" max="1" width="23.7265625" customWidth="1"/>
    <col min="2" max="2" width="13.453125" customWidth="1"/>
    <col min="3" max="3" width="13.1796875" customWidth="1"/>
    <col min="4" max="4" width="17.54296875" customWidth="1"/>
    <col min="6" max="6" width="15.1796875" customWidth="1"/>
  </cols>
  <sheetData>
    <row r="1" spans="1:13" ht="13" x14ac:dyDescent="0.3">
      <c r="A1" s="14" t="s">
        <v>0</v>
      </c>
      <c r="B1" s="14"/>
      <c r="C1" s="14"/>
      <c r="D1" s="14"/>
      <c r="E1" s="14"/>
      <c r="F1" s="14"/>
      <c r="G1" s="14"/>
      <c r="H1" s="14"/>
      <c r="I1" s="14"/>
    </row>
    <row r="3" spans="1:13" ht="13.5" thickBot="1" x14ac:dyDescent="0.35">
      <c r="A3" s="2" t="s">
        <v>1</v>
      </c>
      <c r="B3" s="14" t="s">
        <v>2</v>
      </c>
      <c r="C3" s="14"/>
    </row>
    <row r="4" spans="1:13" ht="13" x14ac:dyDescent="0.3">
      <c r="A4" s="2" t="s">
        <v>4</v>
      </c>
      <c r="B4" s="14" t="s">
        <v>3</v>
      </c>
      <c r="C4" s="14"/>
      <c r="F4" s="15" t="s">
        <v>60</v>
      </c>
      <c r="G4" s="16"/>
      <c r="H4" s="16"/>
      <c r="I4" s="17"/>
    </row>
    <row r="5" spans="1:13" ht="13" x14ac:dyDescent="0.3">
      <c r="A5" s="2" t="s">
        <v>5</v>
      </c>
      <c r="B5" s="14" t="s">
        <v>7</v>
      </c>
      <c r="C5" s="14"/>
      <c r="F5" s="18"/>
      <c r="G5" s="19"/>
      <c r="H5" s="19"/>
      <c r="I5" s="20"/>
    </row>
    <row r="6" spans="1:13" ht="13" x14ac:dyDescent="0.3">
      <c r="A6" s="2" t="s">
        <v>6</v>
      </c>
      <c r="B6" s="14" t="s">
        <v>8</v>
      </c>
      <c r="C6" s="14"/>
      <c r="F6" s="18"/>
      <c r="G6" s="19"/>
      <c r="H6" s="19"/>
      <c r="I6" s="20"/>
    </row>
    <row r="7" spans="1:13" x14ac:dyDescent="0.25">
      <c r="F7" s="18"/>
      <c r="G7" s="19"/>
      <c r="H7" s="19"/>
      <c r="I7" s="20"/>
    </row>
    <row r="8" spans="1:13" ht="13" x14ac:dyDescent="0.3">
      <c r="B8" s="1" t="s">
        <v>16</v>
      </c>
      <c r="C8" s="1" t="s">
        <v>17</v>
      </c>
      <c r="D8" s="1" t="s">
        <v>18</v>
      </c>
      <c r="F8" s="18"/>
      <c r="G8" s="19"/>
      <c r="H8" s="19"/>
      <c r="I8" s="20"/>
      <c r="K8" s="6"/>
      <c r="L8" s="6"/>
      <c r="M8" s="6"/>
    </row>
    <row r="9" spans="1:13" ht="13" x14ac:dyDescent="0.3">
      <c r="A9" s="2" t="s">
        <v>10</v>
      </c>
      <c r="B9">
        <v>791.9</v>
      </c>
      <c r="C9" s="4">
        <v>1057</v>
      </c>
      <c r="D9" s="4">
        <f>$B9*$C9</f>
        <v>837038.29999999993</v>
      </c>
      <c r="F9" s="18"/>
      <c r="G9" s="19"/>
      <c r="H9" s="19"/>
      <c r="I9" s="20"/>
      <c r="L9" s="4"/>
    </row>
    <row r="10" spans="1:13" ht="13" x14ac:dyDescent="0.3">
      <c r="A10" s="2" t="s">
        <v>36</v>
      </c>
      <c r="B10" s="7">
        <v>100</v>
      </c>
      <c r="C10" s="4">
        <f>37*25.4</f>
        <v>939.8</v>
      </c>
      <c r="D10" s="4">
        <f t="shared" ref="D10:D15" si="0">IF(ISNUMBER($B10),$B10*$C10,0)</f>
        <v>93980</v>
      </c>
      <c r="F10" s="18"/>
      <c r="G10" s="19"/>
      <c r="H10" s="19"/>
      <c r="I10" s="20"/>
      <c r="L10" s="4"/>
      <c r="M10" s="4"/>
    </row>
    <row r="11" spans="1:13" ht="13.5" thickBot="1" x14ac:dyDescent="0.35">
      <c r="A11" s="2" t="s">
        <v>37</v>
      </c>
      <c r="B11" s="8">
        <v>100</v>
      </c>
      <c r="C11" s="4">
        <f>37*25.4</f>
        <v>939.8</v>
      </c>
      <c r="D11" s="4">
        <f t="shared" si="0"/>
        <v>93980</v>
      </c>
      <c r="F11" s="21"/>
      <c r="G11" s="22"/>
      <c r="H11" s="22"/>
      <c r="I11" s="23"/>
      <c r="L11" s="4"/>
      <c r="M11" s="4"/>
    </row>
    <row r="12" spans="1:13" ht="13" x14ac:dyDescent="0.3">
      <c r="A12" s="2" t="s">
        <v>38</v>
      </c>
      <c r="B12" s="8">
        <v>40</v>
      </c>
      <c r="C12" s="4">
        <f>73*25.4</f>
        <v>1854.1999999999998</v>
      </c>
      <c r="D12" s="4">
        <f t="shared" si="0"/>
        <v>74168</v>
      </c>
      <c r="L12" s="4"/>
      <c r="M12" s="4"/>
    </row>
    <row r="13" spans="1:13" ht="13" x14ac:dyDescent="0.3">
      <c r="A13" s="2" t="s">
        <v>38</v>
      </c>
      <c r="B13" s="8"/>
      <c r="C13" s="4">
        <f>73*25.4</f>
        <v>1854.1999999999998</v>
      </c>
      <c r="D13" s="4">
        <f t="shared" si="0"/>
        <v>0</v>
      </c>
      <c r="L13" s="4"/>
      <c r="M13" s="4"/>
    </row>
    <row r="14" spans="1:13" ht="13" x14ac:dyDescent="0.3">
      <c r="A14" s="2" t="s">
        <v>9</v>
      </c>
      <c r="B14" s="8"/>
      <c r="C14" s="4">
        <f>95*25.4</f>
        <v>2413</v>
      </c>
      <c r="D14" s="4">
        <f t="shared" si="0"/>
        <v>0</v>
      </c>
      <c r="L14" s="4"/>
      <c r="M14" s="4"/>
    </row>
    <row r="15" spans="1:13" ht="13" x14ac:dyDescent="0.3">
      <c r="A15" s="2" t="s">
        <v>11</v>
      </c>
      <c r="B15" s="9"/>
      <c r="C15" s="4">
        <f>123*25.4</f>
        <v>3124.2</v>
      </c>
      <c r="D15" s="4">
        <f t="shared" si="0"/>
        <v>0</v>
      </c>
      <c r="G15" s="3" t="s">
        <v>59</v>
      </c>
      <c r="L15" s="4"/>
      <c r="M15" s="4"/>
    </row>
    <row r="17" spans="1:13" ht="13" x14ac:dyDescent="0.3">
      <c r="G17" s="1" t="s">
        <v>20</v>
      </c>
      <c r="H17" s="1" t="s">
        <v>21</v>
      </c>
      <c r="I17" s="1" t="s">
        <v>22</v>
      </c>
    </row>
    <row r="18" spans="1:13" ht="13" x14ac:dyDescent="0.3">
      <c r="A18" s="2" t="s">
        <v>12</v>
      </c>
      <c r="B18">
        <f>SUM(B9:B15)</f>
        <v>1031.9000000000001</v>
      </c>
      <c r="C18" s="4">
        <f>$D$18/$B$18</f>
        <v>1065.1868398100589</v>
      </c>
      <c r="D18" s="4">
        <f>SUM(D9:D15)</f>
        <v>1099166.2999999998</v>
      </c>
      <c r="E18" t="s">
        <v>19</v>
      </c>
      <c r="G18" s="5">
        <v>53</v>
      </c>
      <c r="H18" s="4">
        <f>ROUND($G18*3.78541,0)</f>
        <v>201</v>
      </c>
      <c r="I18" s="4">
        <f>ROUND($G18*3.78541*$G$23,0)</f>
        <v>142</v>
      </c>
      <c r="L18" s="4"/>
      <c r="M18" s="4"/>
    </row>
    <row r="19" spans="1:13" ht="13" x14ac:dyDescent="0.3">
      <c r="A19" s="2" t="s">
        <v>13</v>
      </c>
      <c r="B19" s="5">
        <f>$I$21</f>
        <v>124</v>
      </c>
      <c r="C19" s="4">
        <f>48*25.4</f>
        <v>1219.1999999999998</v>
      </c>
      <c r="D19" s="4">
        <f>$B19*$C19</f>
        <v>151180.79999999999</v>
      </c>
      <c r="E19" t="s">
        <v>23</v>
      </c>
      <c r="G19" s="5">
        <f>IF(($G$24-$B$18)&gt;$I$18,$G$18,ROUND(($G$24-$B$18)/$G$23/3.78541,1))</f>
        <v>46.2</v>
      </c>
      <c r="H19" s="4">
        <f>IF(($G$24-$B$18)&gt;$I$18,$H$18,ROUND(($G$24-$B$18)/$G$23,0))</f>
        <v>175</v>
      </c>
      <c r="I19" s="4">
        <f>IF(($G$24-$B$18)&gt;$I$18,$I$18,ROUND($G$24-$B$18,0))</f>
        <v>124</v>
      </c>
      <c r="K19" s="5"/>
      <c r="L19" s="4"/>
      <c r="M19" s="4"/>
    </row>
    <row r="20" spans="1:13" ht="13" x14ac:dyDescent="0.3">
      <c r="A20" s="2" t="s">
        <v>14</v>
      </c>
      <c r="B20" s="5">
        <f>SUM(B18:B19)</f>
        <v>1155.9000000000001</v>
      </c>
      <c r="C20" s="4">
        <f>$D$20/$B$20</f>
        <v>1081.7087118262823</v>
      </c>
      <c r="D20" s="4">
        <f>SUM(D18:D19)</f>
        <v>1250347.0999999999</v>
      </c>
      <c r="E20" s="1" t="s">
        <v>24</v>
      </c>
      <c r="G20" s="10">
        <v>46</v>
      </c>
      <c r="H20" s="11"/>
      <c r="I20" s="12"/>
    </row>
    <row r="21" spans="1:13" ht="13" x14ac:dyDescent="0.3">
      <c r="A21" s="2" t="str">
        <f>CONCATENATE("(max ",$G$24," kg)")</f>
        <v>(max 1156 kg)</v>
      </c>
      <c r="B21" s="3" t="s">
        <v>35</v>
      </c>
      <c r="E21" t="s">
        <v>25</v>
      </c>
      <c r="G21" s="5">
        <f>IF(OR(AND(ISNUMBER($G$20),ISNUMBER($H$20)),AND(ISNUMBER($G$20),ISNUMBER($I$20)),AND(ISNUMBER($H$20),ISNUMBER($I$20))),"Error",IF(ISNUMBER($G$20),$G$20,IF(ISNUMBER($H$20),ROUND($H$20/3.78541,1),ROUND($I$20/$G$23/3.78541,1))))</f>
        <v>46</v>
      </c>
      <c r="H21" s="4">
        <f>IF(OR(AND(ISNUMBER($G$20),ISNUMBER($H$20)),AND(ISNUMBER($G$20),ISNUMBER($I$20)),AND(ISNUMBER($H$20),ISNUMBER($I$20))),"Error",IF(ISNUMBER($H$20),$H$20,IF(ISNUMBER($G$20),ROUND($G$20*3.78541,0),ROUND($I$20/$G$23,0))))</f>
        <v>174</v>
      </c>
      <c r="I21" s="4">
        <f>IF(OR(AND(ISNUMBER($G$20),ISNUMBER($H$20)),AND(ISNUMBER($G$20),ISNUMBER($I$20)),AND(ISNUMBER($H$20),ISNUMBER($I$20))),"Error",IF(ISNUMBER($I$20),$I$20,IF(ISNUMBER($G$20),ROUND($G$20*3.78541*$G$23,0),ROUND($H$20*$G$23,0))))</f>
        <v>124</v>
      </c>
    </row>
    <row r="22" spans="1:13" x14ac:dyDescent="0.25">
      <c r="B22" s="3" t="s">
        <v>15</v>
      </c>
    </row>
    <row r="23" spans="1:13" x14ac:dyDescent="0.25">
      <c r="E23" t="s">
        <v>26</v>
      </c>
      <c r="G23">
        <v>0.71</v>
      </c>
    </row>
    <row r="24" spans="1:13" x14ac:dyDescent="0.25">
      <c r="E24" t="s">
        <v>27</v>
      </c>
      <c r="G24">
        <v>1156</v>
      </c>
    </row>
    <row r="52" spans="1:1" x14ac:dyDescent="0.25">
      <c r="A52" t="s">
        <v>30</v>
      </c>
    </row>
    <row r="53" spans="1:1" x14ac:dyDescent="0.25">
      <c r="A53" t="s">
        <v>31</v>
      </c>
    </row>
    <row r="54" spans="1:1" x14ac:dyDescent="0.25">
      <c r="A54" t="str">
        <f>CONCATENATE("(2) Maximum takeoff weight is ",$G$24," kg.")</f>
        <v>(2) Maximum takeoff weight is 1156 kg.</v>
      </c>
    </row>
    <row r="55" spans="1:1" x14ac:dyDescent="0.25">
      <c r="A55" t="s">
        <v>32</v>
      </c>
    </row>
    <row r="56" spans="1:1" x14ac:dyDescent="0.25">
      <c r="A56" t="s">
        <v>40</v>
      </c>
    </row>
    <row r="57" spans="1:1" x14ac:dyDescent="0.25">
      <c r="A57" t="s">
        <v>33</v>
      </c>
    </row>
    <row r="58" spans="1:1" x14ac:dyDescent="0.25">
      <c r="A58" t="s">
        <v>39</v>
      </c>
    </row>
    <row r="59" spans="1:1" x14ac:dyDescent="0.25">
      <c r="A59" t="s">
        <v>34</v>
      </c>
    </row>
    <row r="60" spans="1:1" x14ac:dyDescent="0.25">
      <c r="A60" t="s">
        <v>42</v>
      </c>
    </row>
    <row r="61" spans="1:1" x14ac:dyDescent="0.25">
      <c r="A61" s="13" t="s">
        <v>43</v>
      </c>
    </row>
  </sheetData>
  <mergeCells count="6">
    <mergeCell ref="B6:C6"/>
    <mergeCell ref="A1:I1"/>
    <mergeCell ref="B3:C3"/>
    <mergeCell ref="B4:C4"/>
    <mergeCell ref="B5:C5"/>
    <mergeCell ref="F4:I11"/>
  </mergeCells>
  <phoneticPr fontId="1" type="noConversion"/>
  <conditionalFormatting sqref="B14:B15">
    <cfRule type="expression" dxfId="15" priority="6" stopIfTrue="1">
      <formula>10*SUM($B$14:$B$15)&gt;544</formula>
    </cfRule>
  </conditionalFormatting>
  <conditionalFormatting sqref="B20">
    <cfRule type="cellIs" dxfId="14" priority="2" stopIfTrue="1" operator="greaterThan">
      <formula>$G$24</formula>
    </cfRule>
  </conditionalFormatting>
  <conditionalFormatting sqref="G20">
    <cfRule type="cellIs" dxfId="13" priority="3" stopIfTrue="1" operator="greaterThan">
      <formula>$G$19</formula>
    </cfRule>
  </conditionalFormatting>
  <conditionalFormatting sqref="G21:I21">
    <cfRule type="cellIs" dxfId="12" priority="1" stopIfTrue="1" operator="equal">
      <formula>"Error"</formula>
    </cfRule>
  </conditionalFormatting>
  <conditionalFormatting sqref="H20">
    <cfRule type="cellIs" dxfId="11" priority="4" stopIfTrue="1" operator="greaterThan">
      <formula>$H$19</formula>
    </cfRule>
  </conditionalFormatting>
  <conditionalFormatting sqref="I20">
    <cfRule type="cellIs" dxfId="10" priority="5" stopIfTrue="1" operator="greaterThan">
      <formula>$I$19</formula>
    </cfRule>
  </conditionalFormatting>
  <pageMargins left="0.75" right="0.75" top="1" bottom="1" header="0.5" footer="0.5"/>
  <pageSetup paperSize="9" scale="73"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C25"/>
  <sheetViews>
    <sheetView workbookViewId="0">
      <selection activeCell="A17" sqref="A17"/>
    </sheetView>
  </sheetViews>
  <sheetFormatPr defaultRowHeight="12.5" x14ac:dyDescent="0.25"/>
  <sheetData>
    <row r="6" spans="1:3" x14ac:dyDescent="0.25">
      <c r="A6" s="6" t="s">
        <v>29</v>
      </c>
      <c r="B6" s="6"/>
      <c r="C6" s="6"/>
    </row>
    <row r="7" spans="1:3" x14ac:dyDescent="0.25">
      <c r="A7">
        <f>KXW!$B$9</f>
        <v>791.9</v>
      </c>
      <c r="B7" s="4">
        <f>KXW!$D$9</f>
        <v>837038.29999999993</v>
      </c>
      <c r="C7">
        <f>B7/A7</f>
        <v>1057</v>
      </c>
    </row>
    <row r="8" spans="1:3" x14ac:dyDescent="0.25">
      <c r="A8">
        <f>A7+ KXW!$B10</f>
        <v>891.9</v>
      </c>
      <c r="B8" s="4">
        <f>B7+KXW!D10</f>
        <v>931018.29999999993</v>
      </c>
      <c r="C8" s="4">
        <f t="shared" ref="C8:C13" si="0">B8/A8</f>
        <v>1043.8595133983631</v>
      </c>
    </row>
    <row r="9" spans="1:3" x14ac:dyDescent="0.25">
      <c r="A9">
        <f>A8+ KXW!$B11</f>
        <v>991.9</v>
      </c>
      <c r="B9" s="4">
        <f>B8+KXW!D11</f>
        <v>1024998.2999999999</v>
      </c>
      <c r="C9" s="4">
        <f t="shared" si="0"/>
        <v>1033.3685855428973</v>
      </c>
    </row>
    <row r="10" spans="1:3" x14ac:dyDescent="0.25">
      <c r="A10">
        <f>A9+ KXW!$B12</f>
        <v>1031.9000000000001</v>
      </c>
      <c r="B10" s="4">
        <f>B9+KXW!D12</f>
        <v>1099166.2999999998</v>
      </c>
      <c r="C10" s="4">
        <f t="shared" si="0"/>
        <v>1065.1868398100589</v>
      </c>
    </row>
    <row r="11" spans="1:3" x14ac:dyDescent="0.25">
      <c r="A11">
        <f>A10+ KXW!$B13</f>
        <v>1031.9000000000001</v>
      </c>
      <c r="B11" s="4">
        <f>B10+KXW!D13</f>
        <v>1099166.2999999998</v>
      </c>
      <c r="C11" s="4">
        <f t="shared" si="0"/>
        <v>1065.1868398100589</v>
      </c>
    </row>
    <row r="12" spans="1:3" x14ac:dyDescent="0.25">
      <c r="A12">
        <f>A11+ KXW!$B14</f>
        <v>1031.9000000000001</v>
      </c>
      <c r="B12" s="4">
        <f>B11+KXW!D14</f>
        <v>1099166.2999999998</v>
      </c>
      <c r="C12" s="4">
        <f t="shared" si="0"/>
        <v>1065.1868398100589</v>
      </c>
    </row>
    <row r="13" spans="1:3" x14ac:dyDescent="0.25">
      <c r="A13">
        <f>A12+ KXW!$B15</f>
        <v>1031.9000000000001</v>
      </c>
      <c r="B13" s="4">
        <f>B12+KXW!D15</f>
        <v>1099166.2999999998</v>
      </c>
      <c r="C13" s="4">
        <f t="shared" si="0"/>
        <v>1065.1868398100589</v>
      </c>
    </row>
    <row r="15" spans="1:3" x14ac:dyDescent="0.25">
      <c r="A15" t="s">
        <v>41</v>
      </c>
    </row>
    <row r="16" spans="1:3" x14ac:dyDescent="0.25">
      <c r="A16">
        <f>KXW!$B$18</f>
        <v>1031.9000000000001</v>
      </c>
      <c r="B16" s="4">
        <f>KXW!$D$18</f>
        <v>1099166.2999999998</v>
      </c>
      <c r="C16" s="4">
        <f>B16/A16</f>
        <v>1065.1868398100589</v>
      </c>
    </row>
    <row r="17" spans="1:3" x14ac:dyDescent="0.25">
      <c r="A17" s="5">
        <f>KXW!$B$20</f>
        <v>1155.9000000000001</v>
      </c>
      <c r="B17" s="4">
        <f>KXW!$D$20</f>
        <v>1250347.0999999999</v>
      </c>
      <c r="C17" s="4">
        <f>B17/A17</f>
        <v>1081.7087118262823</v>
      </c>
    </row>
    <row r="19" spans="1:3" x14ac:dyDescent="0.25">
      <c r="A19" t="s">
        <v>28</v>
      </c>
    </row>
    <row r="20" spans="1:3" x14ac:dyDescent="0.25">
      <c r="A20">
        <f>KXW!$B$9</f>
        <v>791.9</v>
      </c>
      <c r="B20">
        <v>887.5</v>
      </c>
    </row>
    <row r="21" spans="1:3" x14ac:dyDescent="0.25">
      <c r="A21">
        <v>885</v>
      </c>
      <c r="B21">
        <v>887.5</v>
      </c>
    </row>
    <row r="22" spans="1:3" x14ac:dyDescent="0.25">
      <c r="A22">
        <v>1156</v>
      </c>
      <c r="B22">
        <v>1040</v>
      </c>
    </row>
    <row r="23" spans="1:3" x14ac:dyDescent="0.25">
      <c r="A23">
        <v>1156</v>
      </c>
      <c r="B23">
        <v>1200</v>
      </c>
    </row>
    <row r="24" spans="1:3" x14ac:dyDescent="0.25">
      <c r="A24">
        <f>KXW!$B$9</f>
        <v>791.9</v>
      </c>
      <c r="B24">
        <v>1200</v>
      </c>
    </row>
    <row r="25" spans="1:3" x14ac:dyDescent="0.25">
      <c r="A25">
        <f>KXW!$B$9</f>
        <v>791.9</v>
      </c>
      <c r="B25">
        <v>887.5</v>
      </c>
    </row>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72"/>
  <sheetViews>
    <sheetView showGridLines="0" tabSelected="1" workbookViewId="0">
      <selection activeCell="F4" sqref="F4:I11"/>
    </sheetView>
  </sheetViews>
  <sheetFormatPr defaultRowHeight="12.5" x14ac:dyDescent="0.25"/>
  <cols>
    <col min="1" max="1" width="23.7265625" customWidth="1"/>
    <col min="2" max="2" width="13.453125" customWidth="1"/>
    <col min="3" max="3" width="13.1796875" customWidth="1"/>
    <col min="4" max="4" width="17.54296875" customWidth="1"/>
    <col min="6" max="6" width="21.54296875" customWidth="1"/>
  </cols>
  <sheetData>
    <row r="1" spans="1:13" ht="13" x14ac:dyDescent="0.3">
      <c r="A1" s="14" t="s">
        <v>0</v>
      </c>
      <c r="B1" s="14"/>
      <c r="C1" s="14"/>
      <c r="D1" s="14"/>
      <c r="E1" s="14"/>
      <c r="F1" s="14"/>
      <c r="G1" s="14"/>
      <c r="H1" s="14"/>
      <c r="I1" s="14"/>
    </row>
    <row r="3" spans="1:13" ht="13.5" thickBot="1" x14ac:dyDescent="0.35">
      <c r="A3" s="2" t="s">
        <v>1</v>
      </c>
      <c r="B3" s="14" t="s">
        <v>45</v>
      </c>
      <c r="C3" s="14"/>
    </row>
    <row r="4" spans="1:13" ht="12.75" customHeight="1" x14ac:dyDescent="0.3">
      <c r="A4" s="2" t="s">
        <v>4</v>
      </c>
      <c r="B4" s="14" t="s">
        <v>44</v>
      </c>
      <c r="C4" s="14"/>
      <c r="F4" s="15" t="s">
        <v>60</v>
      </c>
      <c r="G4" s="16"/>
      <c r="H4" s="16"/>
      <c r="I4" s="17"/>
    </row>
    <row r="5" spans="1:13" ht="13" x14ac:dyDescent="0.3">
      <c r="A5" s="2" t="s">
        <v>5</v>
      </c>
      <c r="B5" s="14">
        <v>18281728</v>
      </c>
      <c r="C5" s="14"/>
      <c r="F5" s="18"/>
      <c r="G5" s="19"/>
      <c r="H5" s="19"/>
      <c r="I5" s="20"/>
    </row>
    <row r="6" spans="1:13" ht="13" x14ac:dyDescent="0.3">
      <c r="A6" s="2" t="s">
        <v>6</v>
      </c>
      <c r="B6" s="14" t="s">
        <v>8</v>
      </c>
      <c r="C6" s="14"/>
      <c r="F6" s="18"/>
      <c r="G6" s="19"/>
      <c r="H6" s="19"/>
      <c r="I6" s="20"/>
    </row>
    <row r="7" spans="1:13" x14ac:dyDescent="0.25">
      <c r="F7" s="18"/>
      <c r="G7" s="19"/>
      <c r="H7" s="19"/>
      <c r="I7" s="20"/>
    </row>
    <row r="8" spans="1:13" ht="13" x14ac:dyDescent="0.3">
      <c r="B8" s="1" t="s">
        <v>16</v>
      </c>
      <c r="C8" s="1" t="s">
        <v>17</v>
      </c>
      <c r="D8" s="1" t="s">
        <v>18</v>
      </c>
      <c r="F8" s="18"/>
      <c r="G8" s="19"/>
      <c r="H8" s="19"/>
      <c r="I8" s="20"/>
      <c r="K8" s="6"/>
      <c r="L8" s="6"/>
      <c r="M8" s="6"/>
    </row>
    <row r="9" spans="1:13" ht="13" x14ac:dyDescent="0.3">
      <c r="A9" s="2" t="s">
        <v>10</v>
      </c>
      <c r="B9">
        <v>910</v>
      </c>
      <c r="C9" s="4">
        <v>975</v>
      </c>
      <c r="D9" s="4">
        <f>$B9*$C9</f>
        <v>887250</v>
      </c>
      <c r="F9" s="18"/>
      <c r="G9" s="19"/>
      <c r="H9" s="19"/>
      <c r="I9" s="20"/>
      <c r="L9" s="4"/>
    </row>
    <row r="10" spans="1:13" ht="13" x14ac:dyDescent="0.3">
      <c r="A10" s="2" t="s">
        <v>36</v>
      </c>
      <c r="B10" s="7">
        <v>88</v>
      </c>
      <c r="C10" s="4">
        <f>37*25.4</f>
        <v>939.8</v>
      </c>
      <c r="D10" s="4">
        <f t="shared" ref="D10:D16" si="0">IF(ISNUMBER($B10),$B10*$C10,0)</f>
        <v>82702.399999999994</v>
      </c>
      <c r="F10" s="18"/>
      <c r="G10" s="19"/>
      <c r="H10" s="19"/>
      <c r="I10" s="20"/>
      <c r="L10" s="4"/>
      <c r="M10" s="4"/>
    </row>
    <row r="11" spans="1:13" ht="13.5" thickBot="1" x14ac:dyDescent="0.35">
      <c r="A11" s="2" t="s">
        <v>37</v>
      </c>
      <c r="B11" s="8">
        <v>88</v>
      </c>
      <c r="C11" s="4">
        <f>37*25.4</f>
        <v>939.8</v>
      </c>
      <c r="D11" s="4">
        <f t="shared" si="0"/>
        <v>82702.399999999994</v>
      </c>
      <c r="F11" s="21"/>
      <c r="G11" s="22"/>
      <c r="H11" s="22"/>
      <c r="I11" s="23"/>
      <c r="L11" s="4"/>
      <c r="M11" s="4"/>
    </row>
    <row r="12" spans="1:13" ht="13" x14ac:dyDescent="0.3">
      <c r="A12" s="2" t="s">
        <v>38</v>
      </c>
      <c r="B12" s="8">
        <v>87</v>
      </c>
      <c r="C12" s="4">
        <v>1880</v>
      </c>
      <c r="D12" s="4">
        <f t="shared" si="0"/>
        <v>163560</v>
      </c>
      <c r="L12" s="4"/>
      <c r="M12" s="4"/>
    </row>
    <row r="13" spans="1:13" ht="13" x14ac:dyDescent="0.3">
      <c r="A13" s="2" t="s">
        <v>38</v>
      </c>
      <c r="B13" s="8">
        <v>56</v>
      </c>
      <c r="C13" s="4">
        <v>1880</v>
      </c>
      <c r="D13" s="4">
        <f t="shared" si="0"/>
        <v>105280</v>
      </c>
      <c r="L13" s="4"/>
      <c r="M13" s="4"/>
    </row>
    <row r="14" spans="1:13" ht="13" x14ac:dyDescent="0.3">
      <c r="A14" s="2" t="s">
        <v>9</v>
      </c>
      <c r="B14" s="8">
        <v>34</v>
      </c>
      <c r="C14" s="4">
        <v>2464</v>
      </c>
      <c r="D14" s="4">
        <f t="shared" si="0"/>
        <v>83776</v>
      </c>
      <c r="L14" s="4"/>
      <c r="M14" s="4"/>
    </row>
    <row r="15" spans="1:13" ht="13" x14ac:dyDescent="0.3">
      <c r="A15" s="2" t="s">
        <v>11</v>
      </c>
      <c r="B15" s="8">
        <v>12</v>
      </c>
      <c r="C15" s="4">
        <v>2946</v>
      </c>
      <c r="D15" s="4">
        <f t="shared" si="0"/>
        <v>35352</v>
      </c>
      <c r="L15" s="4"/>
      <c r="M15" s="4"/>
    </row>
    <row r="16" spans="1:13" ht="13" x14ac:dyDescent="0.3">
      <c r="A16" s="2" t="s">
        <v>46</v>
      </c>
      <c r="B16" s="9">
        <v>3</v>
      </c>
      <c r="C16" s="4">
        <v>3277</v>
      </c>
      <c r="D16" s="4">
        <f t="shared" si="0"/>
        <v>9831</v>
      </c>
      <c r="G16" s="3" t="s">
        <v>59</v>
      </c>
      <c r="L16" s="4"/>
      <c r="M16" s="4"/>
    </row>
    <row r="18" spans="1:13" ht="13" x14ac:dyDescent="0.3">
      <c r="G18" s="1" t="s">
        <v>20</v>
      </c>
      <c r="H18" s="1" t="s">
        <v>21</v>
      </c>
      <c r="I18" s="1" t="s">
        <v>22</v>
      </c>
    </row>
    <row r="19" spans="1:13" ht="13" x14ac:dyDescent="0.3">
      <c r="A19" s="2" t="s">
        <v>12</v>
      </c>
      <c r="B19">
        <f>SUM(B9:B16)</f>
        <v>1278</v>
      </c>
      <c r="C19" s="4">
        <f>$D$19/$B$19</f>
        <v>1134.9403755868545</v>
      </c>
      <c r="D19" s="4">
        <f>SUM(D9:D16)</f>
        <v>1450453.8</v>
      </c>
      <c r="E19" t="s">
        <v>19</v>
      </c>
      <c r="G19" s="5">
        <v>87</v>
      </c>
      <c r="H19" s="4">
        <f>ROUND($G19*3.78541,0)</f>
        <v>329</v>
      </c>
      <c r="I19" s="4">
        <f>ROUND($G19*3.78541*$G$26,0)</f>
        <v>234</v>
      </c>
      <c r="L19" s="4"/>
      <c r="M19" s="4"/>
    </row>
    <row r="20" spans="1:13" ht="13" x14ac:dyDescent="0.3">
      <c r="A20" s="2" t="s">
        <v>13</v>
      </c>
      <c r="B20" s="5">
        <f>$I$22</f>
        <v>97</v>
      </c>
      <c r="C20" s="4">
        <f>48*25.4</f>
        <v>1219.1999999999998</v>
      </c>
      <c r="D20" s="4">
        <f>$B20*$C20</f>
        <v>118262.39999999998</v>
      </c>
      <c r="E20" t="s">
        <v>23</v>
      </c>
      <c r="G20" s="5">
        <f>IF(($G$27-$B$19)&gt;$I$19,$G$19,ROUND(($G$27-$B$19)/$G$26/3.78541,1))</f>
        <v>47.6</v>
      </c>
      <c r="H20" s="4">
        <f>IF(($G$27-$B$19)&gt;$I$19,$H$19,ROUND(($G$27-$B$19)/$G$26,0))</f>
        <v>180</v>
      </c>
      <c r="I20" s="4">
        <f>IF(($G$27-$B$19)&gt;$I$19,$I$19,ROUND($G$27-$B$19,0))</f>
        <v>128</v>
      </c>
      <c r="K20" s="5"/>
      <c r="L20" s="4"/>
      <c r="M20" s="4"/>
    </row>
    <row r="21" spans="1:13" ht="13" x14ac:dyDescent="0.3">
      <c r="A21" s="2" t="s">
        <v>14</v>
      </c>
      <c r="B21" s="5">
        <f>SUM(B19:B20)</f>
        <v>1375</v>
      </c>
      <c r="C21" s="4">
        <f>$D$21/$B$21</f>
        <v>1140.884509090909</v>
      </c>
      <c r="D21" s="4">
        <f>SUM(D19:D20)</f>
        <v>1568716.2</v>
      </c>
      <c r="E21" s="1" t="s">
        <v>53</v>
      </c>
      <c r="G21" s="10">
        <v>36</v>
      </c>
      <c r="H21" s="11"/>
      <c r="I21" s="12"/>
    </row>
    <row r="22" spans="1:13" ht="13" x14ac:dyDescent="0.3">
      <c r="A22" s="2" t="str">
        <f>CONCATENATE("(max ",$G$27," kg)")</f>
        <v>(max 1406 kg)</v>
      </c>
      <c r="B22" s="3" t="s">
        <v>35</v>
      </c>
      <c r="E22" t="s">
        <v>25</v>
      </c>
      <c r="G22" s="5">
        <f>IF(OR(AND(ISNUMBER($G$21),ISNUMBER($H$21)),AND(ISNUMBER($G$21),ISNUMBER($I$21)),AND(ISNUMBER($H$21),ISNUMBER($I$21))),"Error",IF(ISNUMBER($G$21),$G$21,IF(ISNUMBER($H$21),ROUND($H$21/3.78541,1),ROUND($I$21/$G$26/3.78541,1))))</f>
        <v>36</v>
      </c>
      <c r="H22" s="4">
        <f>IF(OR(AND(ISNUMBER($G$21),ISNUMBER($H$21)),AND(ISNUMBER($G$21),ISNUMBER($I$21)),AND(ISNUMBER($H$21),ISNUMBER($I$21))),"Error",IF(ISNUMBER($H$21),$H$21,IF(ISNUMBER($G$21),ROUND($G$21*3.78541,0),ROUND($I$21/$G$26,0))))</f>
        <v>136</v>
      </c>
      <c r="I22" s="4">
        <f>IF(OR(AND(ISNUMBER($G$21),ISNUMBER($H$21)),AND(ISNUMBER($G$21),ISNUMBER($I$21)),AND(ISNUMBER($H$21),ISNUMBER($I$21))),"Error",IF(ISNUMBER($I$21),$I$21,IF(ISNUMBER($G$21),ROUND($G$21*3.78541*$G$26,0),ROUND($H$21*$G$26,0))))</f>
        <v>97</v>
      </c>
    </row>
    <row r="23" spans="1:13" ht="13" x14ac:dyDescent="0.3">
      <c r="B23" s="3" t="s">
        <v>15</v>
      </c>
      <c r="E23" s="1" t="s">
        <v>54</v>
      </c>
      <c r="G23" s="10">
        <v>23</v>
      </c>
      <c r="H23" s="11"/>
      <c r="I23" s="12"/>
    </row>
    <row r="24" spans="1:13" x14ac:dyDescent="0.25">
      <c r="B24" s="3"/>
      <c r="E24" s="13" t="s">
        <v>55</v>
      </c>
      <c r="G24" s="5">
        <f>IF(OR(AND(ISNUMBER($G$23),ISNUMBER($H$23)),AND(ISNUMBER($G$23),ISNUMBER($I$23)),AND(ISNUMBER($H$23),ISNUMBER($I$23))),"Error",IF(ISNUMBER($G$23),$G$23,IF(ISNUMBER($H$23),ROUND($H$23/3.78541,1),ROUND($I$23/$G$26/3.78541,1))))</f>
        <v>23</v>
      </c>
      <c r="H24" s="4">
        <f>IF(OR(AND(ISNUMBER($G$23),ISNUMBER($H$23)),AND(ISNUMBER($G$23),ISNUMBER($I$23)),AND(ISNUMBER($H$23),ISNUMBER($I$23))),"Error",IF(ISNUMBER($H$23),$H$23,IF(ISNUMBER($G$23),ROUND($G$23*3.78541,0),ROUND($I$23/$G$26,0))))</f>
        <v>87</v>
      </c>
      <c r="I24" s="4">
        <f>IF(OR(AND(ISNUMBER($G$23),ISNUMBER($H$23)),AND(ISNUMBER($G$23),ISNUMBER($I$23)),AND(ISNUMBER($H$23),ISNUMBER($I$23))),"Error",IF(ISNUMBER($I$23),$I$23,IF(ISNUMBER($G$23),ROUND($G$23*3.78541*$G$26,0),ROUND($H$23*$G$26,0))))</f>
        <v>62</v>
      </c>
    </row>
    <row r="25" spans="1:13" ht="13" x14ac:dyDescent="0.3">
      <c r="A25" s="2" t="s">
        <v>57</v>
      </c>
      <c r="B25" s="5">
        <f>$I$22-$I$24</f>
        <v>35</v>
      </c>
      <c r="C25" s="4">
        <f>48*25.4</f>
        <v>1219.1999999999998</v>
      </c>
      <c r="D25" s="4">
        <f>$B25*$C25</f>
        <v>42671.999999999993</v>
      </c>
    </row>
    <row r="26" spans="1:13" ht="13" x14ac:dyDescent="0.3">
      <c r="A26" s="2" t="s">
        <v>58</v>
      </c>
      <c r="B26" s="5">
        <f>$B$25+$B$19</f>
        <v>1313</v>
      </c>
      <c r="C26" s="4">
        <f>$D$21/$B$21</f>
        <v>1140.884509090909</v>
      </c>
      <c r="D26" s="4">
        <f>$D$19+$D$25</f>
        <v>1493125.8</v>
      </c>
      <c r="E26" t="s">
        <v>26</v>
      </c>
      <c r="G26">
        <v>0.71</v>
      </c>
    </row>
    <row r="27" spans="1:13" x14ac:dyDescent="0.25">
      <c r="E27" t="s">
        <v>27</v>
      </c>
      <c r="G27">
        <v>1406</v>
      </c>
    </row>
    <row r="28" spans="1:13" x14ac:dyDescent="0.25">
      <c r="E28" t="s">
        <v>47</v>
      </c>
      <c r="G28">
        <v>1338</v>
      </c>
    </row>
    <row r="62" spans="1:1" x14ac:dyDescent="0.25">
      <c r="A62" t="s">
        <v>30</v>
      </c>
    </row>
    <row r="63" spans="1:1" x14ac:dyDescent="0.25">
      <c r="A63" t="s">
        <v>31</v>
      </c>
    </row>
    <row r="64" spans="1:1" x14ac:dyDescent="0.25">
      <c r="A64" t="str">
        <f>CONCATENATE("(2) Maximum takeoff weight is ",$G$27," kg.")</f>
        <v>(2) Maximum takeoff weight is 1406 kg.</v>
      </c>
    </row>
    <row r="65" spans="1:1" x14ac:dyDescent="0.25">
      <c r="A65" t="s">
        <v>32</v>
      </c>
    </row>
    <row r="66" spans="1:1" x14ac:dyDescent="0.25">
      <c r="A66" t="s">
        <v>40</v>
      </c>
    </row>
    <row r="67" spans="1:1" x14ac:dyDescent="0.25">
      <c r="A67" t="s">
        <v>48</v>
      </c>
    </row>
    <row r="68" spans="1:1" x14ac:dyDescent="0.25">
      <c r="A68" t="s">
        <v>49</v>
      </c>
    </row>
    <row r="69" spans="1:1" x14ac:dyDescent="0.25">
      <c r="A69" t="s">
        <v>50</v>
      </c>
    </row>
    <row r="70" spans="1:1" x14ac:dyDescent="0.25">
      <c r="A70" t="str">
        <f>CONCATENATE("(8) Maximum landing weight is ",$G$28," kg.")</f>
        <v>(8) Maximum landing weight is 1338 kg.</v>
      </c>
    </row>
    <row r="71" spans="1:1" x14ac:dyDescent="0.25">
      <c r="A71" s="13" t="s">
        <v>52</v>
      </c>
    </row>
    <row r="72" spans="1:1" x14ac:dyDescent="0.25">
      <c r="A72" s="13" t="s">
        <v>43</v>
      </c>
    </row>
  </sheetData>
  <mergeCells count="6">
    <mergeCell ref="A1:I1"/>
    <mergeCell ref="B3:C3"/>
    <mergeCell ref="B4:C4"/>
    <mergeCell ref="B5:C5"/>
    <mergeCell ref="B6:C6"/>
    <mergeCell ref="F4:I11"/>
  </mergeCells>
  <conditionalFormatting sqref="B14:B16">
    <cfRule type="expression" dxfId="9" priority="10" stopIfTrue="1">
      <formula>10*SUM($B$14:$B$16)&gt;544</formula>
    </cfRule>
  </conditionalFormatting>
  <conditionalFormatting sqref="B21">
    <cfRule type="cellIs" dxfId="8" priority="6" stopIfTrue="1" operator="greaterThan">
      <formula>$G$27</formula>
    </cfRule>
  </conditionalFormatting>
  <conditionalFormatting sqref="G21">
    <cfRule type="cellIs" dxfId="7" priority="7" stopIfTrue="1" operator="greaterThan">
      <formula>$G$20</formula>
    </cfRule>
  </conditionalFormatting>
  <conditionalFormatting sqref="G23">
    <cfRule type="cellIs" dxfId="6" priority="2" stopIfTrue="1" operator="greaterThan">
      <formula>$G$20</formula>
    </cfRule>
  </conditionalFormatting>
  <conditionalFormatting sqref="G22:I22">
    <cfRule type="cellIs" dxfId="5" priority="5" stopIfTrue="1" operator="equal">
      <formula>"Error"</formula>
    </cfRule>
  </conditionalFormatting>
  <conditionalFormatting sqref="G24:I24">
    <cfRule type="cellIs" dxfId="4" priority="1" stopIfTrue="1" operator="equal">
      <formula>"Error"</formula>
    </cfRule>
  </conditionalFormatting>
  <conditionalFormatting sqref="H21">
    <cfRule type="cellIs" dxfId="3" priority="8" stopIfTrue="1" operator="greaterThan">
      <formula>$H$20</formula>
    </cfRule>
  </conditionalFormatting>
  <conditionalFormatting sqref="H23">
    <cfRule type="cellIs" dxfId="2" priority="3" stopIfTrue="1" operator="greaterThan">
      <formula>$H$20</formula>
    </cfRule>
  </conditionalFormatting>
  <conditionalFormatting sqref="I21">
    <cfRule type="cellIs" dxfId="1" priority="9" stopIfTrue="1" operator="greaterThan">
      <formula>$I$20</formula>
    </cfRule>
  </conditionalFormatting>
  <conditionalFormatting sqref="I23">
    <cfRule type="cellIs" dxfId="0" priority="4" stopIfTrue="1" operator="greaterThan">
      <formula>$I$20</formula>
    </cfRule>
  </conditionalFormatting>
  <pageMargins left="0.75" right="0.75" top="1" bottom="1" header="0.5" footer="0.5"/>
  <pageSetup paperSize="9" scale="7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6:C36"/>
  <sheetViews>
    <sheetView workbookViewId="0">
      <selection activeCell="D43" sqref="D43"/>
    </sheetView>
  </sheetViews>
  <sheetFormatPr defaultRowHeight="12.5" x14ac:dyDescent="0.25"/>
  <sheetData>
    <row r="6" spans="1:3" x14ac:dyDescent="0.25">
      <c r="A6" s="6" t="s">
        <v>29</v>
      </c>
      <c r="B6" s="6"/>
      <c r="C6" s="6"/>
    </row>
    <row r="7" spans="1:3" x14ac:dyDescent="0.25">
      <c r="A7">
        <f>YPB!$B$9</f>
        <v>910</v>
      </c>
      <c r="B7" s="4">
        <f>YPB!$D$9</f>
        <v>887250</v>
      </c>
      <c r="C7">
        <f>B7/A7</f>
        <v>975</v>
      </c>
    </row>
    <row r="8" spans="1:3" x14ac:dyDescent="0.25">
      <c r="A8">
        <f>A7+ YPB!$B10</f>
        <v>998</v>
      </c>
      <c r="B8" s="4">
        <f>B7+YPB!D10</f>
        <v>969952.4</v>
      </c>
      <c r="C8" s="4">
        <f t="shared" ref="C8:C14" si="0">B8/A8</f>
        <v>971.89619238476951</v>
      </c>
    </row>
    <row r="9" spans="1:3" x14ac:dyDescent="0.25">
      <c r="A9">
        <f>A8+ YPB!$B11</f>
        <v>1086</v>
      </c>
      <c r="B9" s="4">
        <f>B8+YPB!D11</f>
        <v>1052654.8</v>
      </c>
      <c r="C9" s="4">
        <f t="shared" si="0"/>
        <v>969.2953959484347</v>
      </c>
    </row>
    <row r="10" spans="1:3" x14ac:dyDescent="0.25">
      <c r="A10">
        <f>A9+ YPB!$B12</f>
        <v>1173</v>
      </c>
      <c r="B10" s="4">
        <f>B9+YPB!D12</f>
        <v>1216214.8</v>
      </c>
      <c r="C10" s="4">
        <f t="shared" si="0"/>
        <v>1036.8412617220802</v>
      </c>
    </row>
    <row r="11" spans="1:3" x14ac:dyDescent="0.25">
      <c r="A11">
        <f>A10+ YPB!$B13</f>
        <v>1229</v>
      </c>
      <c r="B11" s="4">
        <f>B10+YPB!D13</f>
        <v>1321494.8</v>
      </c>
      <c r="C11" s="4">
        <f t="shared" si="0"/>
        <v>1075.260211554109</v>
      </c>
    </row>
    <row r="12" spans="1:3" x14ac:dyDescent="0.25">
      <c r="A12">
        <f>A11+ YPB!$B14</f>
        <v>1263</v>
      </c>
      <c r="B12" s="4">
        <f>B11+YPB!D14</f>
        <v>1405270.8</v>
      </c>
      <c r="C12" s="4">
        <f t="shared" si="0"/>
        <v>1112.6451306413303</v>
      </c>
    </row>
    <row r="13" spans="1:3" x14ac:dyDescent="0.25">
      <c r="A13">
        <f>A12+ YPB!$B15</f>
        <v>1275</v>
      </c>
      <c r="B13" s="4">
        <f>B12+YPB!D15</f>
        <v>1440622.8</v>
      </c>
      <c r="C13" s="4">
        <f t="shared" si="0"/>
        <v>1129.9002352941177</v>
      </c>
    </row>
    <row r="14" spans="1:3" x14ac:dyDescent="0.25">
      <c r="A14">
        <f>A13+ YPB!$B16</f>
        <v>1278</v>
      </c>
      <c r="B14" s="4">
        <f>B13+YPB!D16</f>
        <v>1450453.8</v>
      </c>
      <c r="C14" s="4">
        <f t="shared" si="0"/>
        <v>1134.9403755868545</v>
      </c>
    </row>
    <row r="15" spans="1:3" x14ac:dyDescent="0.25">
      <c r="B15" s="4"/>
      <c r="C15" s="4"/>
    </row>
    <row r="16" spans="1:3" x14ac:dyDescent="0.25">
      <c r="A16" s="13" t="s">
        <v>56</v>
      </c>
      <c r="B16" s="4"/>
      <c r="C16" s="4"/>
    </row>
    <row r="17" spans="1:3" x14ac:dyDescent="0.25">
      <c r="A17">
        <f>YPB!$B$19</f>
        <v>1278</v>
      </c>
      <c r="B17" s="4">
        <f>YPB!$D$19</f>
        <v>1450453.8</v>
      </c>
      <c r="C17" s="4">
        <f>B17/A17</f>
        <v>1134.9403755868545</v>
      </c>
    </row>
    <row r="18" spans="1:3" x14ac:dyDescent="0.25">
      <c r="A18">
        <f>YPB!$B$26</f>
        <v>1313</v>
      </c>
      <c r="B18" s="4">
        <f>YPB!$D$26</f>
        <v>1493125.8</v>
      </c>
      <c r="C18" s="4">
        <f>B18/A18</f>
        <v>1137.1864432597106</v>
      </c>
    </row>
    <row r="19" spans="1:3" x14ac:dyDescent="0.25">
      <c r="B19" s="4"/>
      <c r="C19" s="4"/>
    </row>
    <row r="21" spans="1:3" x14ac:dyDescent="0.25">
      <c r="A21" t="s">
        <v>41</v>
      </c>
    </row>
    <row r="22" spans="1:3" x14ac:dyDescent="0.25">
      <c r="A22">
        <f>YPB!$B$26</f>
        <v>1313</v>
      </c>
      <c r="B22" s="4">
        <f>YPB!$D$26</f>
        <v>1493125.8</v>
      </c>
      <c r="C22" s="4">
        <f>B22/A22</f>
        <v>1137.1864432597106</v>
      </c>
    </row>
    <row r="23" spans="1:3" x14ac:dyDescent="0.25">
      <c r="A23" s="5">
        <f>YPB!$B$21</f>
        <v>1375</v>
      </c>
      <c r="B23" s="4">
        <f>YPB!$D$21</f>
        <v>1568716.2</v>
      </c>
      <c r="C23" s="4">
        <f>B23/A23</f>
        <v>1140.884509090909</v>
      </c>
    </row>
    <row r="25" spans="1:3" x14ac:dyDescent="0.25">
      <c r="A25" t="s">
        <v>28</v>
      </c>
    </row>
    <row r="26" spans="1:3" x14ac:dyDescent="0.25">
      <c r="A26">
        <v>816.5</v>
      </c>
      <c r="B26">
        <v>838</v>
      </c>
    </row>
    <row r="27" spans="1:3" x14ac:dyDescent="0.25">
      <c r="A27">
        <v>1011.5</v>
      </c>
      <c r="B27">
        <v>838</v>
      </c>
    </row>
    <row r="28" spans="1:3" x14ac:dyDescent="0.25">
      <c r="A28">
        <v>1224.7</v>
      </c>
      <c r="B28">
        <v>909</v>
      </c>
    </row>
    <row r="29" spans="1:3" x14ac:dyDescent="0.25">
      <c r="A29">
        <v>1406.1</v>
      </c>
      <c r="B29">
        <v>1036</v>
      </c>
    </row>
    <row r="30" spans="1:3" x14ac:dyDescent="0.25">
      <c r="A30">
        <v>1406.1</v>
      </c>
      <c r="B30">
        <v>1168</v>
      </c>
    </row>
    <row r="31" spans="1:3" x14ac:dyDescent="0.25">
      <c r="A31">
        <v>816.5</v>
      </c>
      <c r="B31">
        <v>1168</v>
      </c>
    </row>
    <row r="32" spans="1:3" x14ac:dyDescent="0.25">
      <c r="A32">
        <v>816.5</v>
      </c>
      <c r="B32">
        <v>838</v>
      </c>
    </row>
    <row r="34" spans="1:2" x14ac:dyDescent="0.25">
      <c r="A34" s="13" t="s">
        <v>51</v>
      </c>
    </row>
    <row r="35" spans="1:2" x14ac:dyDescent="0.25">
      <c r="A35" s="13">
        <v>1338</v>
      </c>
      <c r="B35">
        <v>986</v>
      </c>
    </row>
    <row r="36" spans="1:2" x14ac:dyDescent="0.25">
      <c r="A36" s="13">
        <v>1338</v>
      </c>
      <c r="B36">
        <v>1168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KXW</vt:lpstr>
      <vt:lpstr>KXW_Parms</vt:lpstr>
      <vt:lpstr>YPB</vt:lpstr>
      <vt:lpstr>YPB_Parms</vt:lpstr>
      <vt:lpstr>YPB!Fuel_Burn_Arm</vt:lpstr>
      <vt:lpstr>Fuel_Burn_Arm</vt:lpstr>
      <vt:lpstr>YPB!Fuel_Burn_KG</vt:lpstr>
      <vt:lpstr>Fuel_Burn_KG</vt:lpstr>
      <vt:lpstr>YPB!Loading_Data_Arm</vt:lpstr>
      <vt:lpstr>Loading_Data_Arm</vt:lpstr>
      <vt:lpstr>YPB!Loading_Data_KG</vt:lpstr>
      <vt:lpstr>Loading_Data_KG</vt:lpstr>
      <vt:lpstr>KXW!Print_Area</vt:lpstr>
      <vt:lpstr>YPB!Print_Area</vt:lpstr>
    </vt:vector>
  </TitlesOfParts>
  <Company>Western Power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Eldridge</dc:creator>
  <cp:lastModifiedBy>Matthew Alexander</cp:lastModifiedBy>
  <cp:lastPrinted>2011-09-01T12:38:48Z</cp:lastPrinted>
  <dcterms:created xsi:type="dcterms:W3CDTF">2011-08-31T01:00:39Z</dcterms:created>
  <dcterms:modified xsi:type="dcterms:W3CDTF">2025-08-10T06:06:09Z</dcterms:modified>
</cp:coreProperties>
</file>